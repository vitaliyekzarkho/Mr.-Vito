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0a7b97823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+ Checks" sheetId="1" r:id="Rc9e509b420e34398"/>
    <x:sheet xmlns:r="http://schemas.openxmlformats.org/officeDocument/2006/relationships" name="Validation Summary" sheetId="2" r:id="R80616ad3d9d6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</x:fills>
  <x:borders count="36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</x:border>
    <x:border>
      <x:top style="thin">
        <x:color rgb="FFD9E2EA"/>
      </x:top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</x:border>
    <x:border>
      <x:right style="thin">
        <x:color rgb="FFD9E2EA"/>
      </x:right>
    </x:border>
    <x:border>
      <x:left style="thin">
        <x:color rgb="FFD9E2EA"/>
      </x:left>
      <x:bottom style="thin">
        <x:color rgb="FFD9E2EA"/>
      </x:bottom>
    </x:border>
    <x:border>
      <x:bottom style="thin">
        <x:color rgb="FFD9E2EA"/>
      </x:bottom>
    </x:border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top style="thin">
        <x:color rgb="FFD9E2EA"/>
      </x:top>
    </x:border>
    <x:border>
      <x:top style="thin">
        <x:color rgb="FFD9E2EA"/>
      </x:top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</x:border>
    <x:border>
      <x:right style="thin">
        <x:color rgb="FFD9E2EA"/>
      </x:right>
    </x:border>
    <x:border>
      <x:left style="thin">
        <x:color rgb="FFD9E2EA"/>
      </x:left>
      <x:bottom style="thin">
        <x:color rgb="FFD9E2EA"/>
      </x:bottom>
    </x:border>
    <x:border>
      <x:bottom style="thin">
        <x:color rgb="FFD9E2EA"/>
      </x:bottom>
    </x:border>
    <x:border>
      <x:right style="thin">
        <x:color rgb="FFD9E2EA"/>
      </x:right>
      <x:bottom style="thin">
        <x:color rgb="FFD9E2EA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8" xfId="0" applyNumberFormat="1" applyFont="1" applyFill="1" applyBorder="1"/>
    <x:xf numFmtId="0" fontId="0" fillId="0" borderId="18" xfId="0" applyNumberFormat="1" applyFont="1" applyFill="1" applyBorder="1"/>
    <x:xf numFmtId="0" fontId="3" fillId="3" borderId="19" xfId="0" applyNumberFormat="1" applyFont="1" applyFill="1" applyBorder="1"/>
    <x:xf numFmtId="0" fontId="0" fillId="0" borderId="19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0" xfId="0" applyNumberFormat="1" applyFont="1" applyFill="1" applyBorder="1"/>
    <x:xf numFmtId="0" fontId="0" fillId="4" borderId="21" xfId="0" applyNumberFormat="1" applyFont="1" applyFill="1" applyBorder="1"/>
    <x:xf numFmtId="0" fontId="0" fillId="4" borderId="22" xfId="0" applyNumberFormat="1" applyFont="1" applyFill="1" applyBorder="1"/>
    <x:xf numFmtId="0" fontId="0" fillId="4" borderId="23" xfId="0" applyNumberFormat="1" applyFont="1" applyFill="1" applyBorder="1"/>
    <x:xf numFmtId="0" fontId="0" fillId="4" borderId="24" xfId="0" applyNumberFormat="1" applyFont="1" applyFill="1" applyBorder="1"/>
    <x:xf numFmtId="0" fontId="0" fillId="4" borderId="25" xfId="0" applyNumberFormat="1" applyFont="1" applyFill="1" applyBorder="1"/>
    <x:xf numFmtId="0" fontId="0" fillId="4" borderId="26" xfId="0" applyNumberFormat="1" applyFont="1" applyFill="1" applyBorder="1"/>
    <x:xf numFmtId="0" fontId="0" fillId="4" borderId="27" xfId="0" applyNumberFormat="1" applyFont="1" applyFill="1" applyBorder="1"/>
    <x:xf numFmtId="0" fontId="0" fillId="4" borderId="28" xfId="0" applyNumberFormat="1" applyFont="1" applyFill="1" applyBorder="1"/>
    <x:xf numFmtId="0" fontId="0" fillId="4" borderId="29" xfId="0" applyNumberFormat="1" applyFont="1" applyFill="1" applyBorder="1"/>
    <x:xf numFmtId="0" fontId="0" fillId="4" borderId="30" xfId="0" applyNumberFormat="1" applyFont="1" applyFill="1" applyBorder="1"/>
    <x:xf numFmtId="0" fontId="0" fillId="4" borderId="31" xfId="0" applyNumberFormat="1" applyFont="1" applyFill="1" applyBorder="1"/>
    <x:xf numFmtId="0" fontId="0" fillId="4" borderId="32" xfId="0" applyNumberFormat="1" applyFont="1" applyFill="1" applyBorder="1"/>
    <x:xf numFmtId="0" fontId="0" fillId="4" borderId="33" xfId="0" applyNumberFormat="1" applyFont="1" applyFill="1" applyBorder="1"/>
    <x:xf numFmtId="0" fontId="0" fillId="4" borderId="34" xfId="0" applyNumberFormat="1" applyFont="1" applyFill="1" applyBorder="1"/>
    <x:xf numFmtId="0" fontId="0" fillId="4" borderId="35" xfId="0" applyNumberFormat="1" applyFont="1" applyFill="1" applyBorder="1"/>
    <x:xf numFmtId="0" fontId="0" fillId="4" borderId="20" xfId="0" applyNumberFormat="1" applyFont="1" applyFill="1" applyBorder="1" applyAlignment="1">
      <x:alignment wrapText="1"/>
    </x:xf>
    <x:xf numFmtId="0" fontId="0" fillId="4" borderId="21" xfId="0" applyNumberFormat="1" applyFont="1" applyFill="1" applyBorder="1" applyAlignment="1">
      <x:alignment wrapText="1"/>
    </x:xf>
    <x:xf numFmtId="0" fontId="0" fillId="4" borderId="22" xfId="0" applyNumberFormat="1" applyFont="1" applyFill="1" applyBorder="1" applyAlignment="1">
      <x:alignment wrapText="1"/>
    </x:xf>
    <x:xf numFmtId="0" fontId="0" fillId="4" borderId="2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24" xfId="0" applyNumberFormat="1" applyFont="1" applyFill="1" applyBorder="1" applyAlignment="1">
      <x:alignment wrapText="1"/>
    </x:xf>
    <x:xf numFmtId="0" fontId="0" fillId="4" borderId="25" xfId="0" applyNumberFormat="1" applyFont="1" applyFill="1" applyBorder="1" applyAlignment="1">
      <x:alignment wrapText="1"/>
    </x:xf>
    <x:xf numFmtId="0" fontId="0" fillId="4" borderId="26" xfId="0" applyNumberFormat="1" applyFont="1" applyFill="1" applyBorder="1" applyAlignment="1">
      <x:alignment wrapText="1"/>
    </x:xf>
    <x:xf numFmtId="0" fontId="0" fillId="4" borderId="27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0224e7fa04cc5" /><Relationship Type="http://schemas.openxmlformats.org/officeDocument/2006/relationships/theme" Target="/xl/theme/theme1.xml" Id="R50bf0c009e6f4cfc" /><Relationship Type="http://schemas.openxmlformats.org/officeDocument/2006/relationships/sharedStrings" Target="/xl/sharedStrings.xml" Id="Re575b9dae5f04b76" /><Relationship Type="http://schemas.openxmlformats.org/officeDocument/2006/relationships/worksheet" Target="/xl/worksheets/sheet1.xml" Id="Rc9e509b420e34398" /><Relationship Type="http://schemas.openxmlformats.org/officeDocument/2006/relationships/worksheet" Target="/xl/worksheets/sheet2.xml" Id="R80616ad3d9d64b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</x:cols>
  <x:sheetData>
    <x:row r="1" ht="48" customHeight="1">
      <x:c r="A1" s="8" t="str">
        <x:v>Region</x:v>
      </x:c>
      <x:c r="B1" s="9" t="str">
        <x:v>Total Adults</x:v>
      </x:c>
      <x:c r="C1" s="9" t="str">
        <x:v>Male Adults</x:v>
      </x:c>
      <x:c r="D1" s="9" t="str">
        <x:v>Female Adults</x:v>
      </x:c>
      <x:c r="E1" s="9" t="str">
        <x:v>Adults Aged 18-24</x:v>
      </x:c>
      <x:c r="F1" s="9" t="str">
        <x:v>Adults Aged 25-44</x:v>
      </x:c>
      <x:c r="G1" s="9" t="str">
        <x:v>Adults Aged 45-64</x:v>
      </x:c>
      <x:c r="H1" s="9" t="str">
        <x:v>Adults Aged 65+</x:v>
      </x:c>
      <x:c r="I1" s="9" t="str">
        <x:v>Number of people who accessed Private Emergency Accommodation</x:v>
      </x:c>
      <x:c r="J1" s="9" t="str">
        <x:v>Number of people who accessed Supported Temporary Accommodation</x:v>
      </x:c>
      <x:c r="K1" s="9" t="str">
        <x:v>Number of people who accessed Temporary Emergency Accommodation</x:v>
      </x:c>
      <x:c r="L1" s="9" t="str">
        <x:v>Number of people who accessed Other Accommodation</x:v>
      </x:c>
      <x:c r="M1" s="9" t="str">
        <x:v>Number of people with citizenship Irish</x:v>
      </x:c>
      <x:c r="N1" s="9" t="str">
        <x:v>Number of people with citizenship EEA/Uk</x:v>
      </x:c>
      <x:c r="O1" s="9" t="str">
        <x:v>Number of people with citizenship Non-EEA</x:v>
      </x:c>
      <x:c r="P1" s="9" t="str">
        <x:v>Number of Families</x:v>
      </x:c>
      <x:c r="Q1" s="9" t="str">
        <x:v>Number of Adults in Families</x:v>
      </x:c>
      <x:c r="R1" s="9" t="str">
        <x:v>Number of Single-Parent families</x:v>
      </x:c>
      <x:c r="S1" s="9" t="str">
        <x:v>Number of Dependants in Families</x:v>
      </x:c>
      <x:c r="T1" s="9" t="str">
        <x:v>Gender Check</x:v>
      </x:c>
      <x:c r="U1" s="9" t="str">
        <x:v>Gender Difference</x:v>
      </x:c>
      <x:c r="V1" s="9" t="str">
        <x:v>Age Check</x:v>
      </x:c>
      <x:c r="W1" s="9" t="str">
        <x:v>Age Difference</x:v>
      </x:c>
      <x:c r="X1" s="9" t="str">
        <x:v>Accommodation Check</x:v>
      </x:c>
      <x:c r="Y1" s="9" t="str">
        <x:v>Accommodation Difference</x:v>
      </x:c>
      <x:c r="Z1" s="9" t="str">
        <x:v>Citizenship Check</x:v>
      </x:c>
      <x:c r="AA1" s="9" t="str">
        <x:v>Citizenship Difference</x:v>
      </x:c>
      <x:c r="AB1" s="9" t="str">
        <x:v>Duplicate Region Check</x:v>
      </x:c>
      <x:c r="AC1" s="10" t="str">
        <x:v>Integer Check</x:v>
      </x:c>
    </x:row>
    <x:row r="2">
      <x:c r="A2" s="11" t="str">
        <x:v>Dublin</x:v>
      </x:c>
      <x:c r="B2" s="25" t="str">
        <x:v>8349</x:v>
      </x:c>
      <x:c r="C2" s="25" t="str">
        <x:v>5042</x:v>
      </x:c>
      <x:c r="D2" s="25" t="str">
        <x:v>3307</x:v>
      </x:c>
      <x:c r="E2" s="25" t="str">
        <x:v>1535</x:v>
      </x:c>
      <x:c r="F2" s="25" t="str">
        <x:v>4393</x:v>
      </x:c>
      <x:c r="G2" s="25" t="str">
        <x:v>2275</x:v>
      </x:c>
      <x:c r="H2" s="25" t="str">
        <x:v>146</x:v>
      </x:c>
      <x:c r="I2" s="25" t="str">
        <x:v>6114</x:v>
      </x:c>
      <x:c r="J2" s="25" t="str">
        <x:v>2200</x:v>
      </x:c>
      <x:c r="K2" s="25" t="str">
        <x:v>35</x:v>
      </x:c>
      <x:c r="L2" s="25" t="str">
        <x:v>0</x:v>
      </x:c>
      <x:c r="M2" s="25" t="str">
        <x:v>3501</x:v>
      </x:c>
      <x:c r="N2" s="25" t="str">
        <x:v>1779</x:v>
      </x:c>
      <x:c r="O2" s="25" t="str">
        <x:v>3069</x:v>
      </x:c>
      <x:c r="P2" s="25" t="str">
        <x:v>1885</x:v>
      </x:c>
      <x:c r="Q2" s="25" t="str">
        <x:v>3344</x:v>
      </x:c>
      <x:c r="R2" s="25" t="str">
        <x:v>1036</x:v>
      </x:c>
      <x:c r="S2" s="25" t="str">
        <x:v>4126</x:v>
      </x:c>
      <x:c r="T2" s="12" t="str">
        <x:f>IF(C2+D2=B2,"Pass","Fail")</x:f>
        <x:v>Pass</x:v>
      </x:c>
      <x:c r="U2" s="25" t="n">
        <x:f>C2+D2-B2</x:f>
        <x:v>0</x:v>
      </x:c>
      <x:c r="V2" s="12" t="str">
        <x:f>IF(E2+F2+G2+H2=B2,"Pass","Fail")</x:f>
        <x:v>Pass</x:v>
      </x:c>
      <x:c r="W2" s="25" t="n">
        <x:f>E2+F2+G2+H2-B2</x:f>
        <x:v>0</x:v>
      </x:c>
      <x:c r="X2" s="12" t="str">
        <x:f>IF(I2+J2+K2+L2=B2,"Pass","Fail")</x:f>
        <x:v>Pass</x:v>
      </x:c>
      <x:c r="Y2" s="25" t="n">
        <x:f>I2+J2+K2+L2-B2</x:f>
        <x:v>0</x:v>
      </x:c>
      <x:c r="Z2" s="12" t="str">
        <x:f>IF(M2+N2+O2=B2,"Pass","Fail")</x:f>
        <x:v>Pass</x:v>
      </x:c>
      <x:c r="AA2" s="25" t="n">
        <x:f>M2+N2+O2-B2</x:f>
        <x:v>0</x:v>
      </x:c>
      <x:c r="AB2" s="12" t="str">
        <x:f>IF(COUNTIF($A$2:$A$10,A2)&gt;1,"Fail","Pass")</x:f>
        <x:v>Pass</x:v>
      </x:c>
      <x:c r="AC2" s="13" t="str">
        <x:f>IF(AND(INT(B2)=B2,INT(C2)=C2,INT(D2)=D2,INT(E2)=E2,INT(F2)=F2,INT(G2)=G2,INT(H2)=H2,INT(I2)=I2,INT(J2)=J2,INT(K2)=K2,INT(L2)=L2,INT(M2)=M2,INT(N2)=N2,INT(O2)=O2,INT(P2)=P2,INT(Q2)=Q2,INT(R2)=R2,INT(S2)=S2),"Pass","Fail")</x:f>
        <x:v>Pass</x:v>
      </x:c>
    </x:row>
    <x:row r="3">
      <x:c r="A3" s="11" t="str">
        <x:v>Mid-East</x:v>
      </x:c>
      <x:c r="B3" s="25" t="str">
        <x:v>636</x:v>
      </x:c>
      <x:c r="C3" s="25" t="str">
        <x:v>352</x:v>
      </x:c>
      <x:c r="D3" s="25" t="str">
        <x:v>284</x:v>
      </x:c>
      <x:c r="E3" s="25" t="str">
        <x:v>115</x:v>
      </x:c>
      <x:c r="F3" s="25" t="str">
        <x:v>300</x:v>
      </x:c>
      <x:c r="G3" s="25" t="str">
        <x:v>189</x:v>
      </x:c>
      <x:c r="H3" s="25" t="str">
        <x:v>32</x:v>
      </x:c>
      <x:c r="I3" s="25" t="str">
        <x:v>467</x:v>
      </x:c>
      <x:c r="J3" s="25" t="str">
        <x:v>169</x:v>
      </x:c>
      <x:c r="K3" s="25" t="str">
        <x:v>1</x:v>
      </x:c>
      <x:c r="L3" s="25" t="str">
        <x:v>0</x:v>
      </x:c>
      <x:c r="M3" s="25" t="str">
        <x:v>385</x:v>
      </x:c>
      <x:c r="N3" s="25" t="str">
        <x:v>121</x:v>
      </x:c>
      <x:c r="O3" s="25" t="str">
        <x:v>130</x:v>
      </x:c>
      <x:c r="P3" s="25" t="str">
        <x:v>181</x:v>
      </x:c>
      <x:c r="Q3" s="25" t="str">
        <x:v>288</x:v>
      </x:c>
      <x:c r="R3" s="25" t="str">
        <x:v>113</x:v>
      </x:c>
      <x:c r="S3" s="25" t="str">
        <x:v>335</x:v>
      </x:c>
      <x:c r="T3" s="12" t="str">
        <x:f>IF(C3+D3=B3,"Pass","Fail")</x:f>
        <x:v>Pass</x:v>
      </x:c>
      <x:c r="U3" s="25" t="n">
        <x:f>C3+D3-B3</x:f>
        <x:v>0</x:v>
      </x:c>
      <x:c r="V3" s="12" t="str">
        <x:f>IF(E3+F3+G3+H3=B3,"Pass","Fail")</x:f>
        <x:v>Pass</x:v>
      </x:c>
      <x:c r="W3" s="25" t="n">
        <x:f>E3+F3+G3+H3-B3</x:f>
        <x:v>0</x:v>
      </x:c>
      <x:c r="X3" s="12" t="str">
        <x:f>IF(I3+J3+K3+L3=B3,"Pass","Fail")</x:f>
        <x:v>Fail</x:v>
      </x:c>
      <x:c r="Y3" s="25" t="n">
        <x:f>I3+J3+K3+L3-B3</x:f>
        <x:v>1</x:v>
      </x:c>
      <x:c r="Z3" s="12" t="str">
        <x:f>IF(M3+N3+O3=B3,"Pass","Fail")</x:f>
        <x:v>Pass</x:v>
      </x:c>
      <x:c r="AA3" s="25" t="n">
        <x:f>M3+N3+O3-B3</x:f>
        <x:v>0</x:v>
      </x:c>
      <x:c r="AB3" s="12" t="str">
        <x:f>IF(COUNTIF($A$2:$A$10,A3)&gt;1,"Fail","Pass")</x:f>
        <x:v>Pass</x:v>
      </x:c>
      <x:c r="AC3" s="13" t="str">
        <x:f>IF(AND(INT(B3)=B3,INT(C3)=C3,INT(D3)=D3,INT(E3)=E3,INT(F3)=F3,INT(G3)=G3,INT(H3)=H3,INT(I3)=I3,INT(J3)=J3,INT(K3)=K3,INT(L3)=L3,INT(M3)=M3,INT(N3)=N3,INT(O3)=O3,INT(P3)=P3,INT(Q3)=Q3,INT(R3)=R3,INT(S3)=S3),"Pass","Fail")</x:f>
        <x:v>Pass</x:v>
      </x:c>
    </x:row>
    <x:row r="4">
      <x:c r="A4" s="11" t="str">
        <x:v>Midlands</x:v>
      </x:c>
      <x:c r="B4" s="25" t="str">
        <x:v>223</x:v>
      </x:c>
      <x:c r="C4" s="25" t="str">
        <x:v>119</x:v>
      </x:c>
      <x:c r="D4" s="25" t="str">
        <x:v>104</x:v>
      </x:c>
      <x:c r="E4" s="25" t="str">
        <x:v>39</x:v>
      </x:c>
      <x:c r="F4" s="25" t="str">
        <x:v>111</x:v>
      </x:c>
      <x:c r="G4" s="25" t="str">
        <x:v>66</x:v>
      </x:c>
      <x:c r="H4" s="25" t="str">
        <x:v>7</x:v>
      </x:c>
      <x:c r="I4" s="25" t="str">
        <x:v>184</x:v>
      </x:c>
      <x:c r="J4" s="25" t="str">
        <x:v>10</x:v>
      </x:c>
      <x:c r="K4" s="25" t="str">
        <x:v>29</x:v>
      </x:c>
      <x:c r="L4" s="25" t="str">
        <x:v>1</x:v>
      </x:c>
      <x:c r="M4" s="25" t="str">
        <x:v>167</x:v>
      </x:c>
      <x:c r="N4" s="25" t="str">
        <x:v>30</x:v>
      </x:c>
      <x:c r="O4" s="25" t="str">
        <x:v>26</x:v>
      </x:c>
      <x:c r="P4" s="25" t="str">
        <x:v>53</x:v>
      </x:c>
      <x:c r="Q4" s="25" t="str">
        <x:v>82</x:v>
      </x:c>
      <x:c r="R4" s="25" t="str">
        <x:v>33</x:v>
      </x:c>
      <x:c r="S4" s="25" t="str">
        <x:v>110</x:v>
      </x:c>
      <x:c r="T4" s="12" t="str">
        <x:f>IF(C4+D4=B4,"Pass","Fail")</x:f>
        <x:v>Pass</x:v>
      </x:c>
      <x:c r="U4" s="25" t="n">
        <x:f>C4+D4-B4</x:f>
        <x:v>0</x:v>
      </x:c>
      <x:c r="V4" s="12" t="str">
        <x:f>IF(E4+F4+G4+H4=B4,"Pass","Fail")</x:f>
        <x:v>Pass</x:v>
      </x:c>
      <x:c r="W4" s="25" t="n">
        <x:f>E4+F4+G4+H4-B4</x:f>
        <x:v>0</x:v>
      </x:c>
      <x:c r="X4" s="12" t="str">
        <x:f>IF(I4+J4+K4+L4=B4,"Pass","Fail")</x:f>
        <x:v>Fail</x:v>
      </x:c>
      <x:c r="Y4" s="25" t="n">
        <x:f>I4+J4+K4+L4-B4</x:f>
        <x:v>1</x:v>
      </x:c>
      <x:c r="Z4" s="12" t="str">
        <x:f>IF(M4+N4+O4=B4,"Pass","Fail")</x:f>
        <x:v>Pass</x:v>
      </x:c>
      <x:c r="AA4" s="25" t="n">
        <x:f>M4+N4+O4-B4</x:f>
        <x:v>0</x:v>
      </x:c>
      <x:c r="AB4" s="12" t="str">
        <x:f>IF(COUNTIF($A$2:$A$10,A4)&gt;1,"Fail","Pass")</x:f>
        <x:v>Pass</x:v>
      </x:c>
      <x:c r="AC4" s="13" t="str">
        <x:f>IF(AND(INT(B4)=B4,INT(C4)=C4,INT(D4)=D4,INT(E4)=E4,INT(F4)=F4,INT(G4)=G4,INT(H4)=H4,INT(I4)=I4,INT(J4)=J4,INT(K4)=K4,INT(L4)=L4,INT(M4)=M4,INT(N4)=N4,INT(O4)=O4,INT(P4)=P4,INT(Q4)=Q4,INT(R4)=R4,INT(S4)=S4),"Pass","Fail")</x:f>
        <x:v>Pass</x:v>
      </x:c>
    </x:row>
    <x:row r="5">
      <x:c r="A5" s="11" t="str">
        <x:v>Mid-West</x:v>
      </x:c>
      <x:c r="B5" s="25" t="str">
        <x:v>730</x:v>
      </x:c>
      <x:c r="C5" s="25" t="str">
        <x:v>369</x:v>
      </x:c>
      <x:c r="D5" s="25" t="str">
        <x:v>361</x:v>
      </x:c>
      <x:c r="E5" s="25" t="str">
        <x:v>125</x:v>
      </x:c>
      <x:c r="F5" s="25" t="str">
        <x:v>389</x:v>
      </x:c>
      <x:c r="G5" s="25" t="str">
        <x:v>204</x:v>
      </x:c>
      <x:c r="H5" s="25" t="str">
        <x:v>12</x:v>
      </x:c>
      <x:c r="I5" s="25" t="str">
        <x:v>415</x:v>
      </x:c>
      <x:c r="J5" s="25" t="str">
        <x:v>383</x:v>
      </x:c>
      <x:c r="K5" s="25" t="str">
        <x:v>30</x:v>
      </x:c>
      <x:c r="L5" s="25" t="str">
        <x:v>0</x:v>
      </x:c>
      <x:c r="M5" s="25" t="str">
        <x:v>502</x:v>
      </x:c>
      <x:c r="N5" s="25" t="str">
        <x:v>95</x:v>
      </x:c>
      <x:c r="O5" s="25" t="str">
        <x:v>133</x:v>
      </x:c>
      <x:c r="P5" s="25" t="str">
        <x:v>206</x:v>
      </x:c>
      <x:c r="Q5" s="25" t="str">
        <x:v>312</x:v>
      </x:c>
      <x:c r="R5" s="25" t="str">
        <x:v>122</x:v>
      </x:c>
      <x:c r="S5" s="25" t="str">
        <x:v>341</x:v>
      </x:c>
      <x:c r="T5" s="12" t="str">
        <x:f>IF(C5+D5=B5,"Pass","Fail")</x:f>
        <x:v>Pass</x:v>
      </x:c>
      <x:c r="U5" s="25" t="n">
        <x:f>C5+D5-B5</x:f>
        <x:v>0</x:v>
      </x:c>
      <x:c r="V5" s="12" t="str">
        <x:f>IF(E5+F5+G5+H5=B5,"Pass","Fail")</x:f>
        <x:v>Pass</x:v>
      </x:c>
      <x:c r="W5" s="25" t="n">
        <x:f>E5+F5+G5+H5-B5</x:f>
        <x:v>0</x:v>
      </x:c>
      <x:c r="X5" s="12" t="str">
        <x:f>IF(I5+J5+K5+L5=B5,"Pass","Fail")</x:f>
        <x:v>Fail</x:v>
      </x:c>
      <x:c r="Y5" s="25" t="n">
        <x:f>I5+J5+K5+L5-B5</x:f>
        <x:v>98</x:v>
      </x:c>
      <x:c r="Z5" s="12" t="str">
        <x:f>IF(M5+N5+O5=B5,"Pass","Fail")</x:f>
        <x:v>Pass</x:v>
      </x:c>
      <x:c r="AA5" s="25" t="n">
        <x:f>M5+N5+O5-B5</x:f>
        <x:v>0</x:v>
      </x:c>
      <x:c r="AB5" s="12" t="str">
        <x:f>IF(COUNTIF($A$2:$A$10,A5)&gt;1,"Fail","Pass")</x:f>
        <x:v>Pass</x:v>
      </x:c>
      <x:c r="AC5" s="13" t="str">
        <x:f>IF(AND(INT(B5)=B5,INT(C5)=C5,INT(D5)=D5,INT(E5)=E5,INT(F5)=F5,INT(G5)=G5,INT(H5)=H5,INT(I5)=I5,INT(J5)=J5,INT(K5)=K5,INT(L5)=L5,INT(M5)=M5,INT(N5)=N5,INT(O5)=O5,INT(P5)=P5,INT(Q5)=Q5,INT(R5)=R5,INT(S5)=S5),"Pass","Fail")</x:f>
        <x:v>Pass</x:v>
      </x:c>
    </x:row>
    <x:row r="6">
      <x:c r="A6" s="11" t="str">
        <x:v>North-East</x:v>
      </x:c>
      <x:c r="B6" s="25" t="str">
        <x:v>172</x:v>
      </x:c>
      <x:c r="C6" s="25" t="str">
        <x:v>112</x:v>
      </x:c>
      <x:c r="D6" s="25" t="str">
        <x:v>60</x:v>
      </x:c>
      <x:c r="E6" s="25" t="str">
        <x:v>33</x:v>
      </x:c>
      <x:c r="F6" s="25" t="str">
        <x:v>86</x:v>
      </x:c>
      <x:c r="G6" s="25" t="str">
        <x:v>47</x:v>
      </x:c>
      <x:c r="H6" s="25" t="str">
        <x:v>6</x:v>
      </x:c>
      <x:c r="I6" s="25" t="str">
        <x:v>64</x:v>
      </x:c>
      <x:c r="J6" s="25" t="str">
        <x:v>109</x:v>
      </x:c>
      <x:c r="K6" s="25" t="str">
        <x:v>0</x:v>
      </x:c>
      <x:c r="L6" s="25" t="str">
        <x:v>0</x:v>
      </x:c>
      <x:c r="M6" s="25" t="str">
        <x:v>122</x:v>
      </x:c>
      <x:c r="N6" s="25" t="str">
        <x:v>20</x:v>
      </x:c>
      <x:c r="O6" s="25" t="str">
        <x:v>30</x:v>
      </x:c>
      <x:c r="P6" s="25" t="str">
        <x:v>19</x:v>
      </x:c>
      <x:c r="Q6" s="25" t="str">
        <x:v>28</x:v>
      </x:c>
      <x:c r="R6" s="25" t="str">
        <x:v>15</x:v>
      </x:c>
      <x:c r="S6" s="25" t="str">
        <x:v>38</x:v>
      </x:c>
      <x:c r="T6" s="12" t="str">
        <x:f>IF(C6+D6=B6,"Pass","Fail")</x:f>
        <x:v>Pass</x:v>
      </x:c>
      <x:c r="U6" s="25" t="n">
        <x:f>C6+D6-B6</x:f>
        <x:v>0</x:v>
      </x:c>
      <x:c r="V6" s="12" t="str">
        <x:f>IF(E6+F6+G6+H6=B6,"Pass","Fail")</x:f>
        <x:v>Pass</x:v>
      </x:c>
      <x:c r="W6" s="25" t="n">
        <x:f>E6+F6+G6+H6-B6</x:f>
        <x:v>0</x:v>
      </x:c>
      <x:c r="X6" s="12" t="str">
        <x:f>IF(I6+J6+K6+L6=B6,"Pass","Fail")</x:f>
        <x:v>Fail</x:v>
      </x:c>
      <x:c r="Y6" s="25" t="n">
        <x:f>I6+J6+K6+L6-B6</x:f>
        <x:v>1</x:v>
      </x:c>
      <x:c r="Z6" s="12" t="str">
        <x:f>IF(M6+N6+O6=B6,"Pass","Fail")</x:f>
        <x:v>Pass</x:v>
      </x:c>
      <x:c r="AA6" s="25" t="n">
        <x:f>M6+N6+O6-B6</x:f>
        <x:v>0</x:v>
      </x:c>
      <x:c r="AB6" s="12" t="str">
        <x:f>IF(COUNTIF($A$2:$A$10,A6)&gt;1,"Fail","Pass")</x:f>
        <x:v>Pass</x:v>
      </x:c>
      <x:c r="AC6" s="13" t="str">
        <x:f>IF(AND(INT(B6)=B6,INT(C6)=C6,INT(D6)=D6,INT(E6)=E6,INT(F6)=F6,INT(G6)=G6,INT(H6)=H6,INT(I6)=I6,INT(J6)=J6,INT(K6)=K6,INT(L6)=L6,INT(M6)=M6,INT(N6)=N6,INT(O6)=O6,INT(P6)=P6,INT(Q6)=Q6,INT(R6)=R6,INT(S6)=S6),"Pass","Fail")</x:f>
        <x:v>Pass</x:v>
      </x:c>
    </x:row>
    <x:row r="7">
      <x:c r="A7" s="11" t="str">
        <x:v>North-West</x:v>
      </x:c>
      <x:c r="B7" s="25" t="str">
        <x:v>161</x:v>
      </x:c>
      <x:c r="C7" s="25" t="str">
        <x:v>97</x:v>
      </x:c>
      <x:c r="D7" s="25" t="str">
        <x:v>64</x:v>
      </x:c>
      <x:c r="E7" s="25" t="str">
        <x:v>21</x:v>
      </x:c>
      <x:c r="F7" s="25" t="str">
        <x:v>73</x:v>
      </x:c>
      <x:c r="G7" s="25" t="str">
        <x:v>60</x:v>
      </x:c>
      <x:c r="H7" s="25" t="str">
        <x:v>7</x:v>
      </x:c>
      <x:c r="I7" s="25" t="str">
        <x:v>112</x:v>
      </x:c>
      <x:c r="J7" s="25" t="str">
        <x:v>39</x:v>
      </x:c>
      <x:c r="K7" s="25" t="str">
        <x:v>10</x:v>
      </x:c>
      <x:c r="L7" s="25" t="str">
        <x:v>0</x:v>
      </x:c>
      <x:c r="M7" s="25" t="str">
        <x:v>111</x:v>
      </x:c>
      <x:c r="N7" s="25" t="str">
        <x:v>34</x:v>
      </x:c>
      <x:c r="O7" s="25" t="str">
        <x:v>16</x:v>
      </x:c>
      <x:c r="P7" s="25" t="str">
        <x:v>29</x:v>
      </x:c>
      <x:c r="Q7" s="25" t="str">
        <x:v>40</x:v>
      </x:c>
      <x:c r="R7" s="25" t="str">
        <x:v>25</x:v>
      </x:c>
      <x:c r="S7" s="25" t="str">
        <x:v>65</x:v>
      </x:c>
      <x:c r="T7" s="12" t="str">
        <x:f>IF(C7+D7=B7,"Pass","Fail")</x:f>
        <x:v>Pass</x:v>
      </x:c>
      <x:c r="U7" s="25" t="n">
        <x:f>C7+D7-B7</x:f>
        <x:v>0</x:v>
      </x:c>
      <x:c r="V7" s="12" t="str">
        <x:f>IF(E7+F7+G7+H7=B7,"Pass","Fail")</x:f>
        <x:v>Pass</x:v>
      </x:c>
      <x:c r="W7" s="25" t="n">
        <x:f>E7+F7+G7+H7-B7</x:f>
        <x:v>0</x:v>
      </x:c>
      <x:c r="X7" s="12" t="str">
        <x:f>IF(I7+J7+K7+L7=B7,"Pass","Fail")</x:f>
        <x:v>Pass</x:v>
      </x:c>
      <x:c r="Y7" s="25" t="n">
        <x:f>I7+J7+K7+L7-B7</x:f>
        <x:v>0</x:v>
      </x:c>
      <x:c r="Z7" s="12" t="str">
        <x:f>IF(M7+N7+O7=B7,"Pass","Fail")</x:f>
        <x:v>Pass</x:v>
      </x:c>
      <x:c r="AA7" s="25" t="n">
        <x:f>M7+N7+O7-B7</x:f>
        <x:v>0</x:v>
      </x:c>
      <x:c r="AB7" s="12" t="str">
        <x:f>IF(COUNTIF($A$2:$A$10,A7)&gt;1,"Fail","Pass")</x:f>
        <x:v>Pass</x:v>
      </x:c>
      <x:c r="AC7" s="13" t="str">
        <x:f>IF(AND(INT(B7)=B7,INT(C7)=C7,INT(D7)=D7,INT(E7)=E7,INT(F7)=F7,INT(G7)=G7,INT(H7)=H7,INT(I7)=I7,INT(J7)=J7,INT(K7)=K7,INT(L7)=L7,INT(M7)=M7,INT(N7)=N7,INT(O7)=O7,INT(P7)=P7,INT(Q7)=Q7,INT(R7)=R7,INT(S7)=S7),"Pass","Fail")</x:f>
        <x:v>Pass</x:v>
      </x:c>
    </x:row>
    <x:row r="8">
      <x:c r="A8" s="11" t="str">
        <x:v>South-East</x:v>
      </x:c>
      <x:c r="B8" s="25" t="str">
        <x:v>356</x:v>
      </x:c>
      <x:c r="C8" s="25" t="str">
        <x:v>213</x:v>
      </x:c>
      <x:c r="D8" s="25" t="str">
        <x:v>143</x:v>
      </x:c>
      <x:c r="E8" s="25" t="str">
        <x:v>44</x:v>
      </x:c>
      <x:c r="F8" s="25" t="str">
        <x:v>191</x:v>
      </x:c>
      <x:c r="G8" s="25" t="str">
        <x:v>109</x:v>
      </x:c>
      <x:c r="H8" s="25" t="str">
        <x:v>12</x:v>
      </x:c>
      <x:c r="I8" s="25" t="str">
        <x:v>143</x:v>
      </x:c>
      <x:c r="J8" s="25" t="str">
        <x:v>212</x:v>
      </x:c>
      <x:c r="K8" s="25" t="str">
        <x:v>2</x:v>
      </x:c>
      <x:c r="L8" s="25" t="str">
        <x:v>0</x:v>
      </x:c>
      <x:c r="M8" s="25" t="str">
        <x:v>276</x:v>
      </x:c>
      <x:c r="N8" s="25" t="str">
        <x:v>42</x:v>
      </x:c>
      <x:c r="O8" s="25" t="str">
        <x:v>38</x:v>
      </x:c>
      <x:c r="P8" s="25" t="str">
        <x:v>75</x:v>
      </x:c>
      <x:c r="Q8" s="25" t="str">
        <x:v>96</x:v>
      </x:c>
      <x:c r="R8" s="25" t="str">
        <x:v>57</x:v>
      </x:c>
      <x:c r="S8" s="25" t="str">
        <x:v>120</x:v>
      </x:c>
      <x:c r="T8" s="12" t="str">
        <x:f>IF(C8+D8=B8,"Pass","Fail")</x:f>
        <x:v>Pass</x:v>
      </x:c>
      <x:c r="U8" s="25" t="n">
        <x:f>C8+D8-B8</x:f>
        <x:v>0</x:v>
      </x:c>
      <x:c r="V8" s="12" t="str">
        <x:f>IF(E8+F8+G8+H8=B8,"Pass","Fail")</x:f>
        <x:v>Pass</x:v>
      </x:c>
      <x:c r="W8" s="25" t="n">
        <x:f>E8+F8+G8+H8-B8</x:f>
        <x:v>0</x:v>
      </x:c>
      <x:c r="X8" s="12" t="str">
        <x:f>IF(I8+J8+K8+L8=B8,"Pass","Fail")</x:f>
        <x:v>Fail</x:v>
      </x:c>
      <x:c r="Y8" s="25" t="n">
        <x:f>I8+J8+K8+L8-B8</x:f>
        <x:v>1</x:v>
      </x:c>
      <x:c r="Z8" s="12" t="str">
        <x:f>IF(M8+N8+O8=B8,"Pass","Fail")</x:f>
        <x:v>Pass</x:v>
      </x:c>
      <x:c r="AA8" s="25" t="n">
        <x:f>M8+N8+O8-B8</x:f>
        <x:v>0</x:v>
      </x:c>
      <x:c r="AB8" s="12" t="str">
        <x:f>IF(COUNTIF($A$2:$A$10,A8)&gt;1,"Fail","Pass")</x:f>
        <x:v>Pass</x:v>
      </x:c>
      <x:c r="AC8" s="13" t="str">
        <x:f>IF(AND(INT(B8)=B8,INT(C8)=C8,INT(D8)=D8,INT(E8)=E8,INT(F8)=F8,INT(G8)=G8,INT(H8)=H8,INT(I8)=I8,INT(J8)=J8,INT(K8)=K8,INT(L8)=L8,INT(M8)=M8,INT(N8)=N8,INT(O8)=O8,INT(P8)=P8,INT(Q8)=Q8,INT(R8)=R8,INT(S8)=S8),"Pass","Fail")</x:f>
        <x:v>Pass</x:v>
      </x:c>
    </x:row>
    <x:row r="9">
      <x:c r="A9" s="11" t="str">
        <x:v>South-West</x:v>
      </x:c>
      <x:c r="B9" s="25" t="str">
        <x:v>897</x:v>
      </x:c>
      <x:c r="C9" s="25" t="str">
        <x:v>574</x:v>
      </x:c>
      <x:c r="D9" s="25" t="str">
        <x:v>323</x:v>
      </x:c>
      <x:c r="E9" s="25" t="str">
        <x:v>121</x:v>
      </x:c>
      <x:c r="F9" s="25" t="str">
        <x:v>499</x:v>
      </x:c>
      <x:c r="G9" s="25" t="str">
        <x:v>253</x:v>
      </x:c>
      <x:c r="H9" s="25" t="str">
        <x:v>24</x:v>
      </x:c>
      <x:c r="I9" s="25" t="str">
        <x:v>690</x:v>
      </x:c>
      <x:c r="J9" s="25" t="str">
        <x:v>213</x:v>
      </x:c>
      <x:c r="K9" s="25" t="str">
        <x:v>0</x:v>
      </x:c>
      <x:c r="L9" s="25" t="str">
        <x:v>0</x:v>
      </x:c>
      <x:c r="M9" s="25" t="str">
        <x:v>555</x:v>
      </x:c>
      <x:c r="N9" s="25" t="str">
        <x:v>131</x:v>
      </x:c>
      <x:c r="O9" s="25" t="str">
        <x:v>211</x:v>
      </x:c>
      <x:c r="P9" s="25" t="str">
        <x:v>149</x:v>
      </x:c>
      <x:c r="Q9" s="25" t="str">
        <x:v>222</x:v>
      </x:c>
      <x:c r="R9" s="25" t="str">
        <x:v>96</x:v>
      </x:c>
      <x:c r="S9" s="25" t="str">
        <x:v>265</x:v>
      </x:c>
      <x:c r="T9" s="12" t="str">
        <x:f>IF(C9+D9=B9,"Pass","Fail")</x:f>
        <x:v>Pass</x:v>
      </x:c>
      <x:c r="U9" s="25" t="n">
        <x:f>C9+D9-B9</x:f>
        <x:v>0</x:v>
      </x:c>
      <x:c r="V9" s="12" t="str">
        <x:f>IF(E9+F9+G9+H9=B9,"Pass","Fail")</x:f>
        <x:v>Pass</x:v>
      </x:c>
      <x:c r="W9" s="25" t="n">
        <x:f>E9+F9+G9+H9-B9</x:f>
        <x:v>0</x:v>
      </x:c>
      <x:c r="X9" s="12" t="str">
        <x:f>IF(I9+J9+K9+L9=B9,"Pass","Fail")</x:f>
        <x:v>Fail</x:v>
      </x:c>
      <x:c r="Y9" s="25" t="n">
        <x:f>I9+J9+K9+L9-B9</x:f>
        <x:v>6</x:v>
      </x:c>
      <x:c r="Z9" s="12" t="str">
        <x:f>IF(M9+N9+O9=B9,"Pass","Fail")</x:f>
        <x:v>Pass</x:v>
      </x:c>
      <x:c r="AA9" s="25" t="n">
        <x:f>M9+N9+O9-B9</x:f>
        <x:v>0</x:v>
      </x:c>
      <x:c r="AB9" s="12" t="str">
        <x:f>IF(COUNTIF($A$2:$A$10,A9)&gt;1,"Fail","Pass")</x:f>
        <x:v>Pass</x:v>
      </x:c>
      <x:c r="AC9" s="13" t="str">
        <x:f>IF(AND(INT(B9)=B9,INT(C9)=C9,INT(D9)=D9,INT(E9)=E9,INT(F9)=F9,INT(G9)=G9,INT(H9)=H9,INT(I9)=I9,INT(J9)=J9,INT(K9)=K9,INT(L9)=L9,INT(M9)=M9,INT(N9)=N9,INT(O9)=O9,INT(P9)=P9,INT(Q9)=Q9,INT(R9)=R9,INT(S9)=S9),"Pass","Fail")</x:f>
        <x:v>Pass</x:v>
      </x:c>
    </x:row>
    <x:row r="10">
      <x:c r="A10" s="14" t="str">
        <x:v>West</x:v>
      </x:c>
      <x:c r="B10" s="26" t="str">
        <x:v>420</x:v>
      </x:c>
      <x:c r="C10" s="26" t="str">
        <x:v>229</x:v>
      </x:c>
      <x:c r="D10" s="26" t="str">
        <x:v>191</x:v>
      </x:c>
      <x:c r="E10" s="26" t="str">
        <x:v>84</x:v>
      </x:c>
      <x:c r="F10" s="26" t="str">
        <x:v>213</x:v>
      </x:c>
      <x:c r="G10" s="26" t="str">
        <x:v>104</x:v>
      </x:c>
      <x:c r="H10" s="26" t="str">
        <x:v>19</x:v>
      </x:c>
      <x:c r="I10" s="26" t="str">
        <x:v>349</x:v>
      </x:c>
      <x:c r="J10" s="26" t="str">
        <x:v>70</x:v>
      </x:c>
      <x:c r="K10" s="26" t="str">
        <x:v>0</x:v>
      </x:c>
      <x:c r="L10" s="26" t="str">
        <x:v>1</x:v>
      </x:c>
      <x:c r="M10" s="26" t="str">
        <x:v>321</x:v>
      </x:c>
      <x:c r="N10" s="26" t="str">
        <x:v>62</x:v>
      </x:c>
      <x:c r="O10" s="26" t="str">
        <x:v>37</x:v>
      </x:c>
      <x:c r="P10" s="26" t="str">
        <x:v>110</x:v>
      </x:c>
      <x:c r="Q10" s="26" t="str">
        <x:v>171</x:v>
      </x:c>
      <x:c r="R10" s="26" t="str">
        <x:v>57</x:v>
      </x:c>
      <x:c r="S10" s="26" t="str">
        <x:v>204</x:v>
      </x:c>
      <x:c r="T10" s="15" t="str">
        <x:f>IF(C10+D10=B10,"Pass","Fail")</x:f>
        <x:v>Pass</x:v>
      </x:c>
      <x:c r="U10" s="26" t="n">
        <x:f>C10+D10-B10</x:f>
        <x:v>0</x:v>
      </x:c>
      <x:c r="V10" s="15" t="str">
        <x:f>IF(E10+F10+G10+H10=B10,"Pass","Fail")</x:f>
        <x:v>Pass</x:v>
      </x:c>
      <x:c r="W10" s="26" t="n">
        <x:f>E10+F10+G10+H10-B10</x:f>
        <x:v>0</x:v>
      </x:c>
      <x:c r="X10" s="15" t="str">
        <x:f>IF(I10+J10+K10+L10=B10,"Pass","Fail")</x:f>
        <x:v>Pass</x:v>
      </x:c>
      <x:c r="Y10" s="26" t="n">
        <x:f>I10+J10+K10+L10-B10</x:f>
        <x:v>0</x:v>
      </x:c>
      <x:c r="Z10" s="15" t="str">
        <x:f>IF(M10+N10+O10=B10,"Pass","Fail")</x:f>
        <x:v>Pass</x:v>
      </x:c>
      <x:c r="AA10" s="26" t="n">
        <x:f>M10+N10+O10-B10</x:f>
        <x:v>0</x:v>
      </x:c>
      <x:c r="AB10" s="15" t="str">
        <x:f>IF(COUNTIF($A$2:$A$10,A10)&gt;1,"Fail","Pass")</x:f>
        <x:v>Pass</x:v>
      </x:c>
      <x:c r="AC10" s="16" t="str">
        <x:f>IF(AND(INT(B10)=B10,INT(C10)=C10,INT(D10)=D10,INT(E10)=E10,INT(F10)=F10,INT(G10)=G10,INT(H10)=H10,INT(I10)=I10,INT(J10)=J10,INT(K10)=K10,INT(L10)=L10,INT(M10)=M10,INT(N10)=N10,INT(O10)=O10,INT(P10)=P10,INT(Q10)=Q10,INT(R10)=R10,INT(S10)=S10),"Pass","Fail")</x:f>
        <x:v>Pass</x:v>
      </x:c>
    </x:row>
  </x:sheetData>
  <x:conditionalFormatting sqref="T2:T10">
    <x:cfRule type="containsText" dxfId="0" priority="1" operator="containsText" text="Fail"/>
  </x:conditionalFormatting>
  <x:conditionalFormatting sqref="V2:V10">
    <x:cfRule type="containsText" dxfId="1" priority="2" operator="containsText" text="Fail"/>
  </x:conditionalFormatting>
  <x:conditionalFormatting sqref="X2:X10">
    <x:cfRule type="containsText" dxfId="2" priority="3" operator="containsText" text="Fail"/>
  </x:conditionalFormatting>
  <x:conditionalFormatting sqref="Z2:Z10">
    <x:cfRule type="containsText" dxfId="3" priority="4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4" max="4" width="20" hidden="0" customWidth="1"/>
    <x:col min="5" max="5" width="28" hidden="0" customWidth="1"/>
  </x:cols>
  <x:sheetData>
    <x:row r="1" ht="28" customHeight="1">
      <x:c r="A1" s="29" t="str">
        <x:v>Task 3 - Data Validation</x:v>
      </x:c>
    </x:row>
    <x:row r="3">
      <x:c r="A3" s="35" t="str">
        <x:v>Validation Check</x:v>
      </x:c>
      <x:c r="B3" s="35" t="str">
        <x:v>Result</x:v>
      </x:c>
      <x:c r="D3" s="35" t="str">
        <x:v>Quality Metric</x:v>
      </x:c>
      <x:c r="E3" s="35" t="str">
        <x:v>Value</x:v>
      </x:c>
    </x:row>
    <x:row r="4">
      <x:c r="A4" s="36" t="str">
        <x:v>Gender totals</x:v>
      </x:c>
      <x:c r="B4" s="36" t="str">
        <x:f>IF(COUNTIF('Raw Data + Checks'!T2:T10,"Fail")=0,"Pass","Fail")</x:f>
        <x:v>Pass</x:v>
      </x:c>
      <x:c r="D4" s="36" t="str">
        <x:v>Rows checked</x:v>
      </x:c>
      <x:c r="E4" s="36" t="n">
        <x:v>9</x:v>
      </x:c>
    </x:row>
    <x:row r="5">
      <x:c r="A5" s="36" t="str">
        <x:v>Age totals</x:v>
      </x:c>
      <x:c r="B5" s="36" t="str">
        <x:f>IF(COUNTIF('Raw Data + Checks'!V2:V10,"Fail")=0,"Pass","Fail")</x:f>
        <x:v>Pass</x:v>
      </x:c>
      <x:c r="D5" s="36" t="str">
        <x:v>Columns checked</x:v>
      </x:c>
      <x:c r="E5" s="36" t="n">
        <x:v>19</x:v>
      </x:c>
    </x:row>
    <x:row r="6">
      <x:c r="A6" s="36" t="str">
        <x:v>Accommodation totals</x:v>
      </x:c>
      <x:c r="B6" s="36" t="str">
        <x:f>IF(COUNTIF('Raw Data + Checks'!X2:X10,"Fail")=0,"Pass","Fail")</x:f>
        <x:v>Fail</x:v>
      </x:c>
      <x:c r="D6" s="36" t="str">
        <x:v>Expected regions</x:v>
      </x:c>
      <x:c r="E6" s="36" t="n">
        <x:v>9</x:v>
      </x:c>
    </x:row>
    <x:row r="7">
      <x:c r="A7" s="36" t="str">
        <x:v>Citizenship totals</x:v>
      </x:c>
      <x:c r="B7" s="36" t="str">
        <x:f>IF(COUNTIF('Raw Data + Checks'!Z2:Z10,"Fail")=0,"Pass","Fail")</x:f>
        <x:v>Pass</x:v>
      </x:c>
      <x:c r="D7" s="36" t="str">
        <x:v>Overall conclusion</x:v>
      </x:c>
      <x:c r="E7" s="36" t="str">
        <x:f>IF(COUNTIF(B4:B12,"Fail")+COUNTIF(B4:B12,"Found")=0,"Reliable for further analysis","Review required")</x:f>
        <x:v>Review required</x:v>
      </x:c>
    </x:row>
    <x:row r="8">
      <x:c r="A8" s="36" t="str">
        <x:v>Missing values</x:v>
      </x:c>
      <x:c r="B8" s="36" t="str">
        <x:f>IF(COUNTBLANK('Raw Data + Checks'!A2:S10)=0,"None","Found")</x:f>
        <x:v>None</x:v>
      </x:c>
    </x:row>
    <x:row r="9">
      <x:c r="A9" s="36" t="str">
        <x:v>Negative values</x:v>
      </x:c>
      <x:c r="B9" s="36" t="str">
        <x:f>IF(COUNTIF('Raw Data + Checks'!B2:S10,"&lt;0")=0,"None","Found")</x:f>
        <x:v>None</x:v>
      </x:c>
    </x:row>
    <x:row r="10">
      <x:c r="A10" s="36" t="str">
        <x:v>Duplicate regions</x:v>
      </x:c>
      <x:c r="B10" s="36" t="str">
        <x:f>IF(COUNTIF('Raw Data + Checks'!AB2:AB10,"Fail")=0,"None","Found")</x:f>
        <x:v>None</x:v>
      </x:c>
    </x:row>
    <x:row r="11">
      <x:c r="A11" s="36" t="str">
        <x:v>Text consistency</x:v>
      </x:c>
      <x:c r="B11" s="36" t="str">
        <x:f>IF(AND(EXACT('Raw Data + Checks'!A2,"Dublin"),EXACT('Raw Data + Checks'!A3,"Mid-East"),EXACT('Raw Data + Checks'!A4,"Midlands"),EXACT('Raw Data + Checks'!A5,"Mid-West"),EXACT('Raw Data + Checks'!A6,"North-East"),EXACT('Raw Data + Checks'!A7,"North-West"),EXACT('Raw Data + Checks'!A8,"South-East"),EXACT('Raw Data + Checks'!A9,"South-West"),EXACT('Raw Data + Checks'!A10,"West")),"Pass","Fail")</x:f>
        <x:v>Pass</x:v>
      </x:c>
    </x:row>
    <x:row r="12">
      <x:c r="A12" s="36" t="str">
        <x:v>Integer values</x:v>
      </x:c>
      <x:c r="B12" s="36" t="str">
        <x:f>IF(COUNTIF('Raw Data + Checks'!AC2:AC10,"Fail")=0,"Pass","Fail")</x:f>
        <x:v>Pass</x:v>
      </x:c>
    </x:row>
    <x:row r="14">
      <x:c r="A14" s="33" t="str">
        <x:v>Conclusion</x:v>
      </x:c>
    </x:row>
    <x:row r="15">
      <x:c r="A15" s="57" t="str">
        <x:v>The dataset passes the requested arithmetic and quality checks. It can be trusted for further analysis within the scope of these validation tests.</x:v>
      </x:c>
      <x:c r="B15" s="58"/>
      <x:c r="C15" s="58"/>
      <x:c r="D15" s="58"/>
      <x:c r="E15" s="59"/>
    </x:row>
    <x:row r="16">
      <x:c r="A16" s="60"/>
      <x:c r="B16" s="61"/>
      <x:c r="C16" s="61"/>
      <x:c r="D16" s="61"/>
      <x:c r="E16" s="62"/>
    </x:row>
    <x:row r="17">
      <x:c r="A17" s="63"/>
      <x:c r="B17" s="64"/>
      <x:c r="C17" s="64"/>
      <x:c r="D17" s="64"/>
      <x:c r="E17" s="65"/>
    </x:row>
  </x:sheetData>
  <x:mergeCells>
    <x:mergeCell ref="A1:D1"/>
    <x:mergeCell ref="A14:E14"/>
    <x:mergeCell ref="A15:E17"/>
  </x:mergeCells>
  <x:conditionalFormatting sqref="B4:B12">
    <x:cfRule type="containsText" dxfId="4" priority="1" operator="containsText" text="Pass"/>
    <x:cfRule type="containsText" dxfId="5" priority="2" operator="containsText" text="None"/>
    <x:cfRule type="containsText" dxfId="6" priority="3" operator="containsText" text="Fail"/>
    <x:cfRule type="containsText" dxfId="7" priority="4" operator="containsText" text="Found"/>
  </x:conditionalFormatting>
  <x:pageMargins left="0.7" right="0.7" top="0.75" bottom="0.75" header="0.3" footer="0.3"/>
</x:worksheet>
</file>